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tat\Desktop\"/>
    </mc:Choice>
  </mc:AlternateContent>
  <xr:revisionPtr revIDLastSave="0" documentId="8_{D0CA3758-7546-456B-821A-C2712F4C1C9B}" xr6:coauthVersionLast="47" xr6:coauthVersionMax="47" xr10:uidLastSave="{00000000-0000-0000-0000-000000000000}"/>
  <bookViews>
    <workbookView xWindow="1500" yWindow="-120" windowWidth="27420" windowHeight="16440" activeTab="2" xr2:uid="{80124592-843D-4726-ABC8-62D659E85A98}"/>
  </bookViews>
  <sheets>
    <sheet name="【ベース】電文①" sheetId="1" r:id="rId1"/>
    <sheet name="【ベース】電文②" sheetId="3" r:id="rId2"/>
    <sheet name="【シナリオ作成シート】_制御CH(一斉)" sheetId="2" r:id="rId3"/>
    <sheet name="Sheet4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5" i="4" l="1"/>
  <c r="G17" i="4"/>
  <c r="G9" i="4"/>
  <c r="E31" i="4"/>
  <c r="G31" i="4" s="1"/>
  <c r="E30" i="4"/>
  <c r="G30" i="4" s="1"/>
  <c r="E29" i="4"/>
  <c r="G29" i="4" s="1"/>
  <c r="E28" i="4"/>
  <c r="G28" i="4" s="1"/>
  <c r="E27" i="4"/>
  <c r="G27" i="4" s="1"/>
  <c r="E26" i="4"/>
  <c r="G26" i="4" s="1"/>
  <c r="E25" i="4"/>
  <c r="E24" i="4"/>
  <c r="G24" i="4" s="1"/>
  <c r="E23" i="4"/>
  <c r="G23" i="4" s="1"/>
  <c r="E22" i="4"/>
  <c r="G22" i="4" s="1"/>
  <c r="E21" i="4"/>
  <c r="G21" i="4" s="1"/>
  <c r="E20" i="4"/>
  <c r="G20" i="4" s="1"/>
  <c r="E19" i="4"/>
  <c r="G19" i="4" s="1"/>
  <c r="E18" i="4"/>
  <c r="G18" i="4" s="1"/>
  <c r="E17" i="4"/>
  <c r="E16" i="4"/>
  <c r="G16" i="4" s="1"/>
  <c r="E15" i="4"/>
  <c r="G15" i="4" s="1"/>
  <c r="E14" i="4"/>
  <c r="G14" i="4" s="1"/>
  <c r="E13" i="4"/>
  <c r="G13" i="4" s="1"/>
  <c r="E12" i="4"/>
  <c r="G12" i="4" s="1"/>
  <c r="E11" i="4"/>
  <c r="G11" i="4" s="1"/>
  <c r="E10" i="4"/>
  <c r="G10" i="4" s="1"/>
  <c r="E9" i="4"/>
  <c r="E8" i="4"/>
  <c r="G8" i="4" s="1"/>
  <c r="E7" i="4"/>
  <c r="G7" i="4" s="1"/>
  <c r="E6" i="4"/>
  <c r="G6" i="4" s="1"/>
  <c r="E5" i="4"/>
  <c r="G5" i="4" s="1"/>
  <c r="E4" i="4"/>
  <c r="G4" i="4" s="1"/>
  <c r="E3" i="4"/>
  <c r="G3" i="4" s="1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E2" i="4"/>
  <c r="G2" i="4" s="1"/>
  <c r="I3" i="4" s="1"/>
  <c r="C11" i="2"/>
  <c r="C5" i="2"/>
  <c r="C10" i="2"/>
  <c r="C6" i="2"/>
  <c r="C9" i="2"/>
  <c r="C8" i="2"/>
  <c r="C7" i="2"/>
  <c r="C12" i="2"/>
  <c r="C4" i="2"/>
  <c r="G4" i="2" l="1"/>
  <c r="K4" i="2" s="1"/>
</calcChain>
</file>

<file path=xl/sharedStrings.xml><?xml version="1.0" encoding="utf-8"?>
<sst xmlns="http://schemas.openxmlformats.org/spreadsheetml/2006/main" count="117" uniqueCount="59">
  <si>
    <t>Send(1,fafadfafadf54252435054245235sfgsfgs)</t>
    <phoneticPr fontId="1"/>
  </si>
  <si>
    <t>項目①</t>
    <rPh sb="0" eb="2">
      <t>コウモク</t>
    </rPh>
    <phoneticPr fontId="1"/>
  </si>
  <si>
    <t>ファイル名</t>
    <rPh sb="4" eb="5">
      <t>メイ</t>
    </rPh>
    <phoneticPr fontId="1"/>
  </si>
  <si>
    <t>No</t>
    <phoneticPr fontId="1"/>
  </si>
  <si>
    <t>Send(1,aaaaaaaaaaaaaaaaaaaaaaaaaaa)</t>
    <phoneticPr fontId="1"/>
  </si>
  <si>
    <t>ああ</t>
    <phoneticPr fontId="1"/>
  </si>
  <si>
    <t>test1</t>
    <phoneticPr fontId="1"/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</si>
  <si>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</si>
  <si>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</si>
  <si>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</si>
  <si>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</si>
  <si>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</si>
  <si>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</si>
  <si>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</si>
  <si>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</si>
  <si>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【ベース】電文①</t>
    <rPh sb="5" eb="7">
      <t>デンブン</t>
    </rPh>
    <phoneticPr fontId="1"/>
  </si>
  <si>
    <t>【ベース】電文②</t>
    <rPh sb="5" eb="7">
      <t>デンブン</t>
    </rPh>
    <phoneticPr fontId="1"/>
  </si>
  <si>
    <t>ベース電文の指定</t>
    <rPh sb="3" eb="5">
      <t>デンブン</t>
    </rPh>
    <rPh sb="6" eb="8">
      <t>シテイ</t>
    </rPh>
    <phoneticPr fontId="1"/>
  </si>
  <si>
    <t>ベース電文の制御PCシナリオ</t>
    <rPh sb="6" eb="8">
      <t>セイギョ</t>
    </rPh>
    <phoneticPr fontId="1"/>
  </si>
  <si>
    <r>
      <rPr>
        <sz val="11"/>
        <color theme="1"/>
        <rFont val="游ゴシック"/>
        <family val="2"/>
        <charset val="128"/>
        <scheme val="minor"/>
      </rPr>
      <t>=INDIRECT(B2&amp;"!A1")</t>
    </r>
    <phoneticPr fontId="1"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</si>
  <si>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</si>
  <si>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</si>
  <si>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</si>
  <si>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</si>
  <si>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</si>
  <si>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</si>
  <si>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</si>
  <si>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</si>
  <si>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</si>
  <si>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</si>
  <si>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</si>
  <si>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</si>
  <si>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</si>
  <si>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</si>
  <si>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</si>
  <si>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</si>
  <si>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</si>
  <si>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</si>
  <si>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</si>
  <si>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</si>
  <si>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</si>
  <si>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</si>
  <si>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</si>
  <si>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</si>
  <si>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</si>
  <si>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</si>
  <si>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</si>
  <si>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</si>
  <si>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r>
      <rPr>
        <sz val="11"/>
        <color theme="1"/>
        <rFont val="游ゴシック"/>
        <family val="2"/>
        <charset val="128"/>
        <scheme val="minor"/>
      </rPr>
      <t>INDIRECT(B2&amp;"!A1")</t>
    </r>
    <phoneticPr fontId="1"/>
  </si>
  <si>
    <t>A30</t>
    <phoneticPr fontId="1"/>
  </si>
  <si>
    <t>A29</t>
    <phoneticPr fontId="1"/>
  </si>
  <si>
    <t>&amp;CHAR(10)&amp;</t>
    <phoneticPr fontId="1"/>
  </si>
  <si>
    <t>INDIRECT(B2&amp;"!A1")&amp;CHAR(10)&amp;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t>
  </si>
  <si>
    <t>Send(1,111111111111111111111111111111)</t>
    <phoneticPr fontId="1"/>
  </si>
  <si>
    <t>Send(1,111111111111111111111111111112)</t>
    <phoneticPr fontId="1"/>
  </si>
  <si>
    <t>設定内容</t>
    <rPh sb="0" eb="2">
      <t>セッテイ</t>
    </rPh>
    <rPh sb="2" eb="4">
      <t>ナイヨウ</t>
    </rPh>
    <phoneticPr fontId="1"/>
  </si>
  <si>
    <t>置換後のシナリオ</t>
    <rPh sb="0" eb="3">
      <t>チカンゴ</t>
    </rPh>
    <phoneticPr fontId="1"/>
  </si>
  <si>
    <t>先頭から何文字目？</t>
    <rPh sb="0" eb="2">
      <t>セントウ</t>
    </rPh>
    <rPh sb="4" eb="5">
      <t>ナン</t>
    </rPh>
    <rPh sb="5" eb="7">
      <t>モジ</t>
    </rPh>
    <rPh sb="7" eb="8">
      <t>メ</t>
    </rPh>
    <phoneticPr fontId="1"/>
  </si>
  <si>
    <t>何文字分置き換える？</t>
    <rPh sb="0" eb="3">
      <t>ナンモジ</t>
    </rPh>
    <rPh sb="3" eb="4">
      <t>ブン</t>
    </rPh>
    <rPh sb="4" eb="5">
      <t>オ</t>
    </rPh>
    <rPh sb="6" eb="7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</si>
</sst>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2" fillId="0" borderId="0" xfId="0" quotePrefix="1" applyFont="1">
      <alignment vertical="center"/>
    </xf>
    <xf numFmtId="0" fontId="0" fillId="0" borderId="0" xfId="0" quotePrefix="1">
      <alignment vertical="center"/>
    </xf>
    <xf numFmtId="0" fontId="0" fillId="0" borderId="1" xfId="0" applyBorder="1" applyAlignment="1">
      <alignment horizontal="left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A88E-AB92-40DD-9CB9-A32808A2F631}">
  <sheetPr codeName="Sheet1"/>
  <dimension ref="A1:A5"/>
  <sheetViews>
    <sheetView zoomScaleNormal="100" workbookViewId="0">
      <selection activeCell="A6" sqref="A6:A11"/>
    </sheetView>
  </sheetViews>
  <sheetFormatPr defaultRowHeight="18.75" x14ac:dyDescent="0.4"/>
  <cols>
    <col min="1" max="1" width="45" bestFit="1" customWidth="1"/>
  </cols>
  <sheetData>
    <row r="1" spans="1:1" x14ac:dyDescent="0.4">
      <c r="A1" t="s">
        <v>53</v>
      </c>
    </row>
    <row r="2" spans="1:1" x14ac:dyDescent="0.4">
      <c r="A2" t="s">
        <v>54</v>
      </c>
    </row>
    <row r="3" spans="1:1" x14ac:dyDescent="0.4">
      <c r="A3" t="s">
        <v>53</v>
      </c>
    </row>
    <row r="4" spans="1:1" x14ac:dyDescent="0.4">
      <c r="A4" t="s">
        <v>54</v>
      </c>
    </row>
    <row r="5" spans="1:1" x14ac:dyDescent="0.4">
      <c r="A5" t="s">
        <v>53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F5E0F-C9E6-4B79-B2EE-2AFE1F552C09}">
  <sheetPr codeName="Sheet2"/>
  <dimension ref="A1:A16"/>
  <sheetViews>
    <sheetView workbookViewId="0">
      <selection activeCell="E27" sqref="E27"/>
    </sheetView>
  </sheetViews>
  <sheetFormatPr defaultRowHeight="18.75" x14ac:dyDescent="0.4"/>
  <sheetData>
    <row r="1" spans="1:1" x14ac:dyDescent="0.4">
      <c r="A1" t="s">
        <v>4</v>
      </c>
    </row>
    <row r="2" spans="1:1" x14ac:dyDescent="0.4">
      <c r="A2" t="s">
        <v>0</v>
      </c>
    </row>
    <row r="3" spans="1:1" x14ac:dyDescent="0.4">
      <c r="A3" t="s">
        <v>0</v>
      </c>
    </row>
    <row r="4" spans="1:1" x14ac:dyDescent="0.4">
      <c r="A4" t="s">
        <v>0</v>
      </c>
    </row>
    <row r="5" spans="1:1" x14ac:dyDescent="0.4">
      <c r="A5" t="s">
        <v>0</v>
      </c>
    </row>
    <row r="6" spans="1:1" x14ac:dyDescent="0.4">
      <c r="A6" t="s">
        <v>0</v>
      </c>
    </row>
    <row r="7" spans="1:1" x14ac:dyDescent="0.4">
      <c r="A7" t="s">
        <v>0</v>
      </c>
    </row>
    <row r="8" spans="1:1" x14ac:dyDescent="0.4">
      <c r="A8" t="s">
        <v>0</v>
      </c>
    </row>
    <row r="9" spans="1:1" x14ac:dyDescent="0.4">
      <c r="A9" t="s">
        <v>0</v>
      </c>
    </row>
    <row r="10" spans="1:1" x14ac:dyDescent="0.4">
      <c r="A10" t="s">
        <v>0</v>
      </c>
    </row>
    <row r="11" spans="1:1" x14ac:dyDescent="0.4">
      <c r="A11" t="s">
        <v>0</v>
      </c>
    </row>
    <row r="12" spans="1:1" x14ac:dyDescent="0.4">
      <c r="A12" t="s">
        <v>0</v>
      </c>
    </row>
    <row r="13" spans="1:1" x14ac:dyDescent="0.4">
      <c r="A13" t="s">
        <v>0</v>
      </c>
    </row>
    <row r="14" spans="1:1" x14ac:dyDescent="0.4">
      <c r="A14" t="s">
        <v>0</v>
      </c>
    </row>
    <row r="15" spans="1:1" x14ac:dyDescent="0.4">
      <c r="A15" t="s">
        <v>0</v>
      </c>
    </row>
    <row r="16" spans="1:1" x14ac:dyDescent="0.4">
      <c r="A16" t="s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B043-0EAC-4FB0-9282-E9E762C8938E}">
  <sheetPr codeName="Sheet3"/>
  <dimension ref="A2:L14"/>
  <sheetViews>
    <sheetView tabSelected="1" zoomScale="70" zoomScaleNormal="70" workbookViewId="0">
      <selection sqref="A1:XFD1"/>
    </sheetView>
  </sheetViews>
  <sheetFormatPr defaultRowHeight="18.75" x14ac:dyDescent="0.4"/>
  <cols>
    <col min="2" max="2" width="17.25" bestFit="1" customWidth="1"/>
    <col min="3" max="3" width="89.375" bestFit="1" customWidth="1"/>
    <col min="4" max="4" width="9.5" bestFit="1" customWidth="1"/>
    <col min="5" max="5" width="20.375" bestFit="1" customWidth="1"/>
    <col min="6" max="6" width="22.625" bestFit="1" customWidth="1"/>
    <col min="7" max="7" width="192" bestFit="1" customWidth="1"/>
    <col min="8" max="8" width="9.5" bestFit="1" customWidth="1"/>
    <col min="9" max="9" width="20.375" bestFit="1" customWidth="1"/>
    <col min="10" max="10" width="22.625" bestFit="1" customWidth="1"/>
    <col min="11" max="11" width="192" bestFit="1" customWidth="1"/>
    <col min="12" max="12" width="11" bestFit="1" customWidth="1"/>
  </cols>
  <sheetData>
    <row r="2" spans="1:12" x14ac:dyDescent="0.4">
      <c r="D2" s="7" t="s">
        <v>1</v>
      </c>
      <c r="E2" s="8"/>
      <c r="F2" s="8"/>
      <c r="G2" s="9"/>
      <c r="H2" s="7" t="s">
        <v>1</v>
      </c>
      <c r="I2" s="8"/>
      <c r="J2" s="8"/>
      <c r="K2" s="9"/>
    </row>
    <row r="3" spans="1:12" x14ac:dyDescent="0.4">
      <c r="A3" s="1" t="s">
        <v>3</v>
      </c>
      <c r="B3" s="1" t="s">
        <v>17</v>
      </c>
      <c r="C3" s="1" t="s">
        <v>18</v>
      </c>
      <c r="D3" s="6" t="s">
        <v>55</v>
      </c>
      <c r="E3" s="6" t="s">
        <v>57</v>
      </c>
      <c r="F3" s="6" t="s">
        <v>58</v>
      </c>
      <c r="G3" s="6" t="s">
        <v>56</v>
      </c>
      <c r="H3" s="6" t="s">
        <v>55</v>
      </c>
      <c r="I3" s="6" t="s">
        <v>57</v>
      </c>
      <c r="J3" s="6" t="s">
        <v>58</v>
      </c>
      <c r="K3" s="6" t="s">
        <v>56</v>
      </c>
      <c r="L3" s="1" t="s">
        <v>2</v>
      </c>
    </row>
    <row r="4" spans="1:12" ht="409.5" x14ac:dyDescent="0.4">
      <c r="A4" s="1">
        <v>1</v>
      </c>
      <c r="B4" s="1" t="s">
        <v>15</v>
      </c>
      <c r="C4" s="2" t="str">
        <f ca="1">INDIRECT(B4&amp;"!A1")&amp;CHAR(10)&amp;INDIRECT(B4&amp;"!A2")&amp;CHAR(10)&amp;INDIRECT(B4&amp;"!A3")&amp;CHAR(10)&amp;INDIRECT(B4&amp;"!A4")&amp;CHAR(10)&amp;INDIRECT(B4&amp;"!A5")&amp;CHAR(10)&amp;INDIRECT(B4&amp;"!A6")&amp;CHAR(10)&amp;INDIRECT(B4&amp;"!A7")&amp;CHAR(10)&amp;INDIRECT(B4&amp;"!A8")&amp;CHAR(10)&amp;INDIRECT(B4&amp;"!A9")&amp;CHAR(10)&amp;INDIRECT(B4&amp;"!A10")&amp;CHAR(10)&amp;INDIRECT(B4&amp;"!A11")&amp;CHAR(10)&amp;INDIRECT(B4&amp;"!A12")&amp;CHAR(10)&amp;INDIRECT(B4&amp;"!A13")&amp;CHAR(10)&amp;INDIRECT(B4&amp;"!A14")&amp;CHAR(10)&amp;INDIRECT(B4&amp;"!A15")&amp;CHAR(10)&amp;INDIRECT(B4&amp;"!A16")&amp;CHAR(10)&amp;INDIRECT(B4&amp;"!A17")&amp;CHAR(10)&amp;INDIRECT(B4&amp;"!A18")&amp;CHAR(10)&amp;INDIRECT(B4&amp;"!A19")&amp;CHAR(10)&amp;INDIRECT(B4&amp;"!A20")&amp;CHAR(10)&amp;INDIRECT(B4&amp;"!A21")&amp;CHAR(10)&amp;INDIRECT(B4&amp;"!A22")&amp;CHAR(10)&amp;INDIRECT(B4&amp;"!A23")&amp;CHAR(10)&amp;INDIRECT(B4&amp;"!A24")&amp;CHAR(10)&amp;INDIRECT(B4&amp;"!A25")&amp;CHAR(10)&amp;INDIRECT(B4&amp;"!A26")&amp;CHAR(10)&amp;INDIRECT(B4&amp;"!A27")&amp;CHAR(10)&amp;INDIRECT(B4&amp;"!A28")&amp;CHAR(10)&amp;INDIRECT(B4&amp;"!A29")&amp;CHAR(10)&amp;INDIRECT(B4&amp;"!A30")</f>
        <v xml:space="preserve">Send(1,111111111111111111111111111111)
Send(1,111111111111111111111111111112)
Send(1,111111111111111111111111111111)
Send(1,111111111111111111111111111112)
Send(1,111111111111111111111111111111)
</v>
      </c>
      <c r="D4" s="2" t="s">
        <v>5</v>
      </c>
      <c r="E4" s="2">
        <v>10</v>
      </c>
      <c r="F4" s="2">
        <v>20</v>
      </c>
      <c r="G4" s="5" t="str">
        <f ca="1">REPLACE(C4,E4,F4,D4)</f>
        <v xml:space="preserve">Send(1,11ああ11111111)
Send(1,111111111111111111111111111112)
Send(1,111111111111111111111111111111)
Send(1,111111111111111111111111111112)
Send(1,111111111111111111111111111111)
</v>
      </c>
      <c r="H4" s="2" t="s">
        <v>5</v>
      </c>
      <c r="I4" s="2">
        <v>10</v>
      </c>
      <c r="J4" s="2">
        <v>20</v>
      </c>
      <c r="K4" s="5" t="str">
        <f ca="1">REPLACE(G4,I4,J4,H4)</f>
        <v xml:space="preserve">Send(1,11ああ11111111111111111111111111112)
Send(1,111111111111111111111111111111)
Send(1,111111111111111111111111111112)
Send(1,111111111111111111111111111111)
</v>
      </c>
      <c r="L4" s="1" t="s">
        <v>6</v>
      </c>
    </row>
    <row r="5" spans="1:12" ht="409.5" x14ac:dyDescent="0.4">
      <c r="A5" s="1">
        <v>2</v>
      </c>
      <c r="B5" s="1" t="s">
        <v>16</v>
      </c>
      <c r="C5" s="2" t="str">
        <f t="shared" ref="C5:C12" ca="1" si="0">INDIRECT(B5&amp;"!A1")&amp;CHAR(10)&amp;INDIRECT(B5&amp;"!A2")&amp;CHAR(10)&amp;INDIRECT(B5&amp;"!A3")&amp;CHAR(10)&amp;INDIRECT(B5&amp;"!A4")&amp;CHAR(10)&amp;INDIRECT(B5&amp;"!A5")&amp;CHAR(10)&amp;INDIRECT(B5&amp;"!A6")&amp;CHAR(10)&amp;INDIRECT(B5&amp;"!A7")&amp;CHAR(10)&amp;INDIRECT(B5&amp;"!A8")&amp;CHAR(10)&amp;INDIRECT(B5&amp;"!A9")&amp;CHAR(10)&amp;INDIRECT(B5&amp;"!A10")&amp;CHAR(10)&amp;INDIRECT(B5&amp;"!A11")&amp;CHAR(10)&amp;INDIRECT(B5&amp;"!A12")&amp;CHAR(10)&amp;INDIRECT(B5&amp;"!A13")&amp;CHAR(10)&amp;INDIRECT(B5&amp;"!A14")&amp;CHAR(10)&amp;INDIRECT(B5&amp;"!A15")&amp;CHAR(10)&amp;INDIRECT(B5&amp;"!A16")&amp;CHAR(10)&amp;INDIRECT(B5&amp;"!A17")&amp;CHAR(10)&amp;INDIRECT(B5&amp;"!A18")&amp;CHAR(10)&amp;INDIRECT(B5&amp;"!A19")&amp;CHAR(10)&amp;INDIRECT(B5&amp;"!A20")&amp;CHAR(10)&amp;INDIRECT(B5&amp;"!A21")&amp;CHAR(10)&amp;INDIRECT(B5&amp;"!A22")&amp;CHAR(10)&amp;INDIRECT(B5&amp;"!A23")&amp;CHAR(10)&amp;INDIRECT(B5&amp;"!A24")&amp;CHAR(10)&amp;INDIRECT(B5&amp;"!A25")&amp;CHAR(10)&amp;INDIRECT(B5&amp;"!A26")&amp;CHAR(10)&amp;INDIRECT(B5&amp;"!A27")&amp;CHAR(10)&amp;INDIRECT(B5&amp;"!A28")&amp;CHAR(10)&amp;INDIRECT(B5&amp;"!A29")&amp;CHAR(10)&amp;INDIRECT(B5&amp;"!A30")</f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5" s="2"/>
      <c r="E5" s="2"/>
      <c r="F5" s="2"/>
      <c r="G5" s="2"/>
      <c r="H5" s="2"/>
      <c r="I5" s="2"/>
      <c r="J5" s="2"/>
      <c r="K5" s="2"/>
      <c r="L5" s="1" t="s">
        <v>7</v>
      </c>
    </row>
    <row r="6" spans="1:12" ht="409.5" x14ac:dyDescent="0.4">
      <c r="A6" s="1">
        <v>3</v>
      </c>
      <c r="B6" s="1" t="s">
        <v>16</v>
      </c>
      <c r="C6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6" s="2"/>
      <c r="E6" s="2"/>
      <c r="F6" s="2"/>
      <c r="G6" s="2"/>
      <c r="H6" s="2"/>
      <c r="I6" s="2"/>
      <c r="J6" s="2"/>
      <c r="K6" s="2"/>
      <c r="L6" s="1" t="s">
        <v>8</v>
      </c>
    </row>
    <row r="7" spans="1:12" ht="409.5" x14ac:dyDescent="0.4">
      <c r="A7" s="1">
        <v>4</v>
      </c>
      <c r="B7" s="1" t="s">
        <v>16</v>
      </c>
      <c r="C7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7" s="2"/>
      <c r="E7" s="2"/>
      <c r="F7" s="2"/>
      <c r="G7" s="2"/>
      <c r="H7" s="2"/>
      <c r="I7" s="2"/>
      <c r="J7" s="2"/>
      <c r="K7" s="2"/>
      <c r="L7" s="1" t="s">
        <v>9</v>
      </c>
    </row>
    <row r="8" spans="1:12" ht="409.5" x14ac:dyDescent="0.4">
      <c r="A8" s="1">
        <v>5</v>
      </c>
      <c r="B8" s="1" t="s">
        <v>16</v>
      </c>
      <c r="C8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8" s="2"/>
      <c r="E8" s="2"/>
      <c r="F8" s="2"/>
      <c r="G8" s="2"/>
      <c r="H8" s="2"/>
      <c r="I8" s="2"/>
      <c r="J8" s="2"/>
      <c r="K8" s="2"/>
      <c r="L8" s="1" t="s">
        <v>10</v>
      </c>
    </row>
    <row r="9" spans="1:12" ht="409.5" x14ac:dyDescent="0.4">
      <c r="A9" s="1">
        <v>6</v>
      </c>
      <c r="B9" s="1" t="s">
        <v>16</v>
      </c>
      <c r="C9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9" s="2"/>
      <c r="E9" s="2"/>
      <c r="F9" s="2"/>
      <c r="G9" s="2"/>
      <c r="H9" s="2"/>
      <c r="I9" s="2"/>
      <c r="J9" s="2"/>
      <c r="K9" s="2"/>
      <c r="L9" s="1" t="s">
        <v>11</v>
      </c>
    </row>
    <row r="10" spans="1:12" ht="409.5" x14ac:dyDescent="0.4">
      <c r="A10" s="1">
        <v>7</v>
      </c>
      <c r="B10" s="1" t="s">
        <v>16</v>
      </c>
      <c r="C10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0" s="2"/>
      <c r="E10" s="2"/>
      <c r="F10" s="2"/>
      <c r="G10" s="2"/>
      <c r="H10" s="2"/>
      <c r="I10" s="2"/>
      <c r="J10" s="2"/>
      <c r="K10" s="2"/>
      <c r="L10" s="1" t="s">
        <v>12</v>
      </c>
    </row>
    <row r="11" spans="1:12" ht="409.5" x14ac:dyDescent="0.4">
      <c r="A11" s="1">
        <v>8</v>
      </c>
      <c r="B11" s="1" t="s">
        <v>16</v>
      </c>
      <c r="C11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1" s="2"/>
      <c r="E11" s="2"/>
      <c r="F11" s="2"/>
      <c r="G11" s="2"/>
      <c r="H11" s="2"/>
      <c r="I11" s="2"/>
      <c r="J11" s="2"/>
      <c r="K11" s="2"/>
      <c r="L11" s="1" t="s">
        <v>13</v>
      </c>
    </row>
    <row r="12" spans="1:12" ht="409.5" x14ac:dyDescent="0.4">
      <c r="A12" s="1">
        <v>9</v>
      </c>
      <c r="B12" s="1" t="s">
        <v>16</v>
      </c>
      <c r="C12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2" s="2"/>
      <c r="E12" s="2"/>
      <c r="F12" s="2"/>
      <c r="G12" s="2"/>
      <c r="H12" s="2"/>
      <c r="I12" s="2"/>
      <c r="J12" s="2"/>
      <c r="K12" s="2"/>
      <c r="L12" s="1" t="s">
        <v>14</v>
      </c>
    </row>
    <row r="13" spans="1:12" x14ac:dyDescent="0.4">
      <c r="A13" s="1">
        <v>10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4">
      <c r="A14" s="1">
        <v>11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FDCF-1385-410C-85B0-6CAD42B1E071}">
  <sheetPr codeName="Sheet4"/>
  <dimension ref="D1:I34"/>
  <sheetViews>
    <sheetView topLeftCell="E13" workbookViewId="0">
      <selection activeCell="I34" sqref="I34"/>
    </sheetView>
  </sheetViews>
  <sheetFormatPr defaultRowHeight="18.75" x14ac:dyDescent="0.4"/>
  <cols>
    <col min="4" max="4" width="54.625" bestFit="1" customWidth="1"/>
    <col min="5" max="5" width="54.625" customWidth="1"/>
    <col min="7" max="7" width="33.125" bestFit="1" customWidth="1"/>
    <col min="9" max="9" width="64.25" bestFit="1" customWidth="1"/>
  </cols>
  <sheetData>
    <row r="1" spans="4:9" x14ac:dyDescent="0.4">
      <c r="H1" s="4" t="s">
        <v>51</v>
      </c>
    </row>
    <row r="2" spans="4:9" x14ac:dyDescent="0.4">
      <c r="D2" s="3" t="s">
        <v>19</v>
      </c>
      <c r="E2" s="3" t="str">
        <f>REPLACE(D2,16,2,F2)</f>
        <v>=INDIRECT(B2&amp;"!A30")</v>
      </c>
      <c r="F2" t="s">
        <v>49</v>
      </c>
      <c r="G2" t="str">
        <f>E2&amp;$H$1</f>
        <v>=INDIRECT(B2&amp;"!A30")&amp;CHAR(10)&amp;</v>
      </c>
    </row>
    <row r="3" spans="4:9" x14ac:dyDescent="0.4">
      <c r="D3" s="3" t="s">
        <v>48</v>
      </c>
      <c r="E3" s="3" t="str">
        <f>REPLACE(D3,15,2,F3)</f>
        <v>INDIRECT(B2&amp;"!A29")</v>
      </c>
      <c r="F3" t="s">
        <v>50</v>
      </c>
      <c r="G3" t="str">
        <f t="shared" ref="G3:G31" si="0">E3&amp;$H$1</f>
        <v>INDIRECT(B2&amp;"!A29")&amp;CHAR(10)&amp;</v>
      </c>
      <c r="I3" t="str">
        <f>G2&amp;I2</f>
        <v>=INDIRECT(B2&amp;"!A30")&amp;CHAR(10)&amp;</v>
      </c>
    </row>
    <row r="4" spans="4:9" x14ac:dyDescent="0.4">
      <c r="D4" s="3" t="s">
        <v>48</v>
      </c>
      <c r="E4" s="3" t="str">
        <f t="shared" ref="E4:E31" si="1">REPLACE(D4,15,2,F4)</f>
        <v>INDIRECT(B2&amp;"!A28")</v>
      </c>
      <c r="F4" t="s">
        <v>47</v>
      </c>
      <c r="G4" t="str">
        <f t="shared" si="0"/>
        <v>INDIRECT(B2&amp;"!A28")&amp;CHAR(10)&amp;</v>
      </c>
      <c r="I4" t="str">
        <f t="shared" ref="I4:I32" si="2">G3&amp;I3</f>
        <v>INDIRECT(B2&amp;"!A29")&amp;CHAR(10)&amp;=INDIRECT(B2&amp;"!A30")&amp;CHAR(10)&amp;</v>
      </c>
    </row>
    <row r="5" spans="4:9" x14ac:dyDescent="0.4">
      <c r="D5" s="3" t="s">
        <v>48</v>
      </c>
      <c r="E5" s="3" t="str">
        <f t="shared" si="1"/>
        <v>INDIRECT(B2&amp;"!A27")</v>
      </c>
      <c r="F5" t="s">
        <v>46</v>
      </c>
      <c r="G5" t="str">
        <f t="shared" si="0"/>
        <v>INDIRECT(B2&amp;"!A27")&amp;CHAR(10)&amp;</v>
      </c>
      <c r="I5" t="str">
        <f t="shared" si="2"/>
        <v>INDIRECT(B2&amp;"!A28")&amp;CHAR(10)&amp;INDIRECT(B2&amp;"!A29")&amp;CHAR(10)&amp;=INDIRECT(B2&amp;"!A30")&amp;CHAR(10)&amp;</v>
      </c>
    </row>
    <row r="6" spans="4:9" x14ac:dyDescent="0.4">
      <c r="D6" s="3" t="s">
        <v>48</v>
      </c>
      <c r="E6" s="3" t="str">
        <f t="shared" si="1"/>
        <v>INDIRECT(B2&amp;"!A26")</v>
      </c>
      <c r="F6" t="s">
        <v>45</v>
      </c>
      <c r="G6" t="str">
        <f t="shared" si="0"/>
        <v>INDIRECT(B2&amp;"!A26")&amp;CHAR(10)&amp;</v>
      </c>
      <c r="I6" t="str">
        <f t="shared" si="2"/>
        <v>INDIRECT(B2&amp;"!A27")&amp;CHAR(10)&amp;INDIRECT(B2&amp;"!A28")&amp;CHAR(10)&amp;INDIRECT(B2&amp;"!A29")&amp;CHAR(10)&amp;=INDIRECT(B2&amp;"!A30")&amp;CHAR(10)&amp;</v>
      </c>
    </row>
    <row r="7" spans="4:9" x14ac:dyDescent="0.4">
      <c r="D7" s="3" t="s">
        <v>48</v>
      </c>
      <c r="E7" s="3" t="str">
        <f t="shared" si="1"/>
        <v>INDIRECT(B2&amp;"!A25")</v>
      </c>
      <c r="F7" t="s">
        <v>44</v>
      </c>
      <c r="G7" t="str">
        <f t="shared" si="0"/>
        <v>INDIRECT(B2&amp;"!A25")&amp;CHAR(10)&amp;</v>
      </c>
      <c r="I7" t="str">
        <f t="shared" si="2"/>
        <v>INDIRECT(B2&amp;"!A26")&amp;CHAR(10)&amp;INDIRECT(B2&amp;"!A27")&amp;CHAR(10)&amp;INDIRECT(B2&amp;"!A28")&amp;CHAR(10)&amp;INDIRECT(B2&amp;"!A29")&amp;CHAR(10)&amp;=INDIRECT(B2&amp;"!A30")&amp;CHAR(10)&amp;</v>
      </c>
    </row>
    <row r="8" spans="4:9" x14ac:dyDescent="0.4">
      <c r="D8" s="3" t="s">
        <v>48</v>
      </c>
      <c r="E8" s="3" t="str">
        <f t="shared" si="1"/>
        <v>INDIRECT(B2&amp;"!A24")</v>
      </c>
      <c r="F8" t="s">
        <v>43</v>
      </c>
      <c r="G8" t="str">
        <f t="shared" si="0"/>
        <v>INDIRECT(B2&amp;"!A24")&amp;CHAR(10)&amp;</v>
      </c>
      <c r="I8" t="str">
        <f t="shared" si="2"/>
        <v>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9" spans="4:9" x14ac:dyDescent="0.4">
      <c r="D9" s="3" t="s">
        <v>48</v>
      </c>
      <c r="E9" s="3" t="str">
        <f t="shared" si="1"/>
        <v>INDIRECT(B2&amp;"!A23")</v>
      </c>
      <c r="F9" t="s">
        <v>42</v>
      </c>
      <c r="G9" t="str">
        <f t="shared" si="0"/>
        <v>INDIRECT(B2&amp;"!A23")&amp;CHAR(10)&amp;</v>
      </c>
      <c r="I9" t="str">
        <f t="shared" si="2"/>
        <v>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0" spans="4:9" x14ac:dyDescent="0.4">
      <c r="D10" s="3" t="s">
        <v>48</v>
      </c>
      <c r="E10" s="3" t="str">
        <f t="shared" si="1"/>
        <v>INDIRECT(B2&amp;"!A22")</v>
      </c>
      <c r="F10" t="s">
        <v>41</v>
      </c>
      <c r="G10" t="str">
        <f t="shared" si="0"/>
        <v>INDIRECT(B2&amp;"!A22")&amp;CHAR(10)&amp;</v>
      </c>
      <c r="I10" t="str">
        <f t="shared" si="2"/>
        <v>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1" spans="4:9" x14ac:dyDescent="0.4">
      <c r="D11" s="3" t="s">
        <v>48</v>
      </c>
      <c r="E11" s="3" t="str">
        <f t="shared" si="1"/>
        <v>INDIRECT(B2&amp;"!A21")</v>
      </c>
      <c r="F11" t="s">
        <v>40</v>
      </c>
      <c r="G11" t="str">
        <f t="shared" si="0"/>
        <v>INDIRECT(B2&amp;"!A21")&amp;CHAR(10)&amp;</v>
      </c>
      <c r="I11" t="str">
        <f t="shared" si="2"/>
        <v>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2" spans="4:9" x14ac:dyDescent="0.4">
      <c r="D12" s="3" t="s">
        <v>48</v>
      </c>
      <c r="E12" s="3" t="str">
        <f t="shared" si="1"/>
        <v>INDIRECT(B2&amp;"!A20")</v>
      </c>
      <c r="F12" t="s">
        <v>39</v>
      </c>
      <c r="G12" t="str">
        <f t="shared" si="0"/>
        <v>INDIRECT(B2&amp;"!A20")&amp;CHAR(10)&amp;</v>
      </c>
      <c r="I12" t="str">
        <f t="shared" si="2"/>
        <v>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3" spans="4:9" x14ac:dyDescent="0.4">
      <c r="D13" s="3" t="s">
        <v>48</v>
      </c>
      <c r="E13" s="3" t="str">
        <f t="shared" si="1"/>
        <v>INDIRECT(B2&amp;"!A19")</v>
      </c>
      <c r="F13" t="s">
        <v>38</v>
      </c>
      <c r="G13" t="str">
        <f t="shared" si="0"/>
        <v>INDIRECT(B2&amp;"!A19")&amp;CHAR(10)&amp;</v>
      </c>
      <c r="I13" t="str">
        <f t="shared" si="2"/>
        <v>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4" spans="4:9" x14ac:dyDescent="0.4">
      <c r="D14" s="3" t="s">
        <v>48</v>
      </c>
      <c r="E14" s="3" t="str">
        <f t="shared" si="1"/>
        <v>INDIRECT(B2&amp;"!A18")</v>
      </c>
      <c r="F14" t="s">
        <v>37</v>
      </c>
      <c r="G14" t="str">
        <f t="shared" si="0"/>
        <v>INDIRECT(B2&amp;"!A18")&amp;CHAR(10)&amp;</v>
      </c>
      <c r="I14" t="str">
        <f t="shared" si="2"/>
        <v>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5" spans="4:9" x14ac:dyDescent="0.4">
      <c r="D15" s="3" t="s">
        <v>48</v>
      </c>
      <c r="E15" s="3" t="str">
        <f t="shared" si="1"/>
        <v>INDIRECT(B2&amp;"!A17")</v>
      </c>
      <c r="F15" t="s">
        <v>36</v>
      </c>
      <c r="G15" t="str">
        <f t="shared" si="0"/>
        <v>INDIRECT(B2&amp;"!A17")&amp;CHAR(10)&amp;</v>
      </c>
      <c r="I15" t="str">
        <f t="shared" si="2"/>
        <v>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6" spans="4:9" x14ac:dyDescent="0.4">
      <c r="D16" s="3" t="s">
        <v>48</v>
      </c>
      <c r="E16" s="3" t="str">
        <f t="shared" si="1"/>
        <v>INDIRECT(B2&amp;"!A16")</v>
      </c>
      <c r="F16" t="s">
        <v>35</v>
      </c>
      <c r="G16" t="str">
        <f t="shared" si="0"/>
        <v>INDIRECT(B2&amp;"!A16")&amp;CHAR(10)&amp;</v>
      </c>
      <c r="I16" t="str">
        <f t="shared" si="2"/>
        <v>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7" spans="4:9" x14ac:dyDescent="0.4">
      <c r="D17" s="3" t="s">
        <v>48</v>
      </c>
      <c r="E17" s="3" t="str">
        <f t="shared" si="1"/>
        <v>INDIRECT(B2&amp;"!A15")</v>
      </c>
      <c r="F17" t="s">
        <v>34</v>
      </c>
      <c r="G17" t="str">
        <f t="shared" si="0"/>
        <v>INDIRECT(B2&amp;"!A15")&amp;CHAR(10)&amp;</v>
      </c>
      <c r="I17" t="str">
        <f t="shared" si="2"/>
        <v>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8" spans="4:9" x14ac:dyDescent="0.4">
      <c r="D18" s="3" t="s">
        <v>48</v>
      </c>
      <c r="E18" s="3" t="str">
        <f t="shared" si="1"/>
        <v>INDIRECT(B2&amp;"!A14")</v>
      </c>
      <c r="F18" t="s">
        <v>33</v>
      </c>
      <c r="G18" t="str">
        <f t="shared" si="0"/>
        <v>INDIRECT(B2&amp;"!A14")&amp;CHAR(10)&amp;</v>
      </c>
      <c r="I18" t="str">
        <f t="shared" si="2"/>
        <v>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9" spans="4:9" x14ac:dyDescent="0.4">
      <c r="D19" s="3" t="s">
        <v>48</v>
      </c>
      <c r="E19" s="3" t="str">
        <f t="shared" si="1"/>
        <v>INDIRECT(B2&amp;"!A13")</v>
      </c>
      <c r="F19" t="s">
        <v>32</v>
      </c>
      <c r="G19" t="str">
        <f t="shared" si="0"/>
        <v>INDIRECT(B2&amp;"!A13")&amp;CHAR(10)&amp;</v>
      </c>
      <c r="I19" t="str">
        <f t="shared" si="2"/>
        <v>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0" spans="4:9" x14ac:dyDescent="0.4">
      <c r="D20" s="3" t="s">
        <v>48</v>
      </c>
      <c r="E20" s="3" t="str">
        <f t="shared" si="1"/>
        <v>INDIRECT(B2&amp;"!A12")</v>
      </c>
      <c r="F20" t="s">
        <v>31</v>
      </c>
      <c r="G20" t="str">
        <f t="shared" si="0"/>
        <v>INDIRECT(B2&amp;"!A12")&amp;CHAR(10)&amp;</v>
      </c>
      <c r="I20" t="str">
        <f t="shared" si="2"/>
        <v>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1" spans="4:9" x14ac:dyDescent="0.4">
      <c r="D21" s="3" t="s">
        <v>48</v>
      </c>
      <c r="E21" s="3" t="str">
        <f t="shared" si="1"/>
        <v>INDIRECT(B2&amp;"!A11")</v>
      </c>
      <c r="F21" t="s">
        <v>30</v>
      </c>
      <c r="G21" t="str">
        <f t="shared" si="0"/>
        <v>INDIRECT(B2&amp;"!A11")&amp;CHAR(10)&amp;</v>
      </c>
      <c r="I21" t="str">
        <f t="shared" si="2"/>
        <v>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2" spans="4:9" x14ac:dyDescent="0.4">
      <c r="D22" s="3" t="s">
        <v>48</v>
      </c>
      <c r="E22" s="3" t="str">
        <f t="shared" si="1"/>
        <v>INDIRECT(B2&amp;"!A10")</v>
      </c>
      <c r="F22" t="s">
        <v>29</v>
      </c>
      <c r="G22" t="str">
        <f t="shared" si="0"/>
        <v>INDIRECT(B2&amp;"!A10")&amp;CHAR(10)&amp;</v>
      </c>
      <c r="I22" t="str">
        <f t="shared" si="2"/>
        <v>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3" spans="4:9" x14ac:dyDescent="0.4">
      <c r="D23" s="3" t="s">
        <v>48</v>
      </c>
      <c r="E23" s="3" t="str">
        <f t="shared" si="1"/>
        <v>INDIRECT(B2&amp;"!A9")</v>
      </c>
      <c r="F23" t="s">
        <v>28</v>
      </c>
      <c r="G23" t="str">
        <f t="shared" si="0"/>
        <v>INDIRECT(B2&amp;"!A9")&amp;CHAR(10)&amp;</v>
      </c>
      <c r="I23" t="str">
        <f t="shared" si="2"/>
        <v>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4" spans="4:9" x14ac:dyDescent="0.4">
      <c r="D24" s="3" t="s">
        <v>48</v>
      </c>
      <c r="E24" s="3" t="str">
        <f t="shared" si="1"/>
        <v>INDIRECT(B2&amp;"!A8")</v>
      </c>
      <c r="F24" t="s">
        <v>27</v>
      </c>
      <c r="G24" t="str">
        <f t="shared" si="0"/>
        <v>INDIRECT(B2&amp;"!A8")&amp;CHAR(10)&amp;</v>
      </c>
      <c r="I24" t="str">
        <f t="shared" si="2"/>
        <v>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5" spans="4:9" x14ac:dyDescent="0.4">
      <c r="D25" s="3" t="s">
        <v>48</v>
      </c>
      <c r="E25" s="3" t="str">
        <f t="shared" si="1"/>
        <v>INDIRECT(B2&amp;"!A7")</v>
      </c>
      <c r="F25" t="s">
        <v>26</v>
      </c>
      <c r="G25" t="str">
        <f t="shared" si="0"/>
        <v>INDIRECT(B2&amp;"!A7")&amp;CHAR(10)&amp;</v>
      </c>
      <c r="I25" t="str">
        <f t="shared" si="2"/>
        <v>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6" spans="4:9" x14ac:dyDescent="0.4">
      <c r="D26" s="3" t="s">
        <v>48</v>
      </c>
      <c r="E26" s="3" t="str">
        <f t="shared" si="1"/>
        <v>INDIRECT(B2&amp;"!A6")</v>
      </c>
      <c r="F26" t="s">
        <v>25</v>
      </c>
      <c r="G26" t="str">
        <f t="shared" si="0"/>
        <v>INDIRECT(B2&amp;"!A6")&amp;CHAR(10)&amp;</v>
      </c>
      <c r="I26" t="str">
        <f t="shared" si="2"/>
        <v>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7" spans="4:9" x14ac:dyDescent="0.4">
      <c r="D27" s="3" t="s">
        <v>48</v>
      </c>
      <c r="E27" s="3" t="str">
        <f t="shared" si="1"/>
        <v>INDIRECT(B2&amp;"!A5")</v>
      </c>
      <c r="F27" t="s">
        <v>24</v>
      </c>
      <c r="G27" t="str">
        <f t="shared" si="0"/>
        <v>INDIRECT(B2&amp;"!A5")&amp;CHAR(10)&amp;</v>
      </c>
      <c r="I27" t="str">
        <f t="shared" si="2"/>
        <v>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8" spans="4:9" x14ac:dyDescent="0.4">
      <c r="D28" s="3" t="s">
        <v>48</v>
      </c>
      <c r="E28" s="3" t="str">
        <f t="shared" si="1"/>
        <v>INDIRECT(B2&amp;"!A4")</v>
      </c>
      <c r="F28" t="s">
        <v>23</v>
      </c>
      <c r="G28" t="str">
        <f t="shared" si="0"/>
        <v>INDIRECT(B2&amp;"!A4")&amp;CHAR(10)&amp;</v>
      </c>
      <c r="I28" t="str">
        <f t="shared" si="2"/>
        <v>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9" spans="4:9" x14ac:dyDescent="0.4">
      <c r="D29" s="3" t="s">
        <v>48</v>
      </c>
      <c r="E29" s="3" t="str">
        <f t="shared" si="1"/>
        <v>INDIRECT(B2&amp;"!A3")</v>
      </c>
      <c r="F29" t="s">
        <v>22</v>
      </c>
      <c r="G29" t="str">
        <f t="shared" si="0"/>
        <v>INDIRECT(B2&amp;"!A3")&amp;CHAR(10)&amp;</v>
      </c>
      <c r="I29" t="str">
        <f t="shared" si="2"/>
        <v>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0" spans="4:9" x14ac:dyDescent="0.4">
      <c r="D30" s="3" t="s">
        <v>48</v>
      </c>
      <c r="E30" s="3" t="str">
        <f t="shared" si="1"/>
        <v>INDIRECT(B2&amp;"!A2")</v>
      </c>
      <c r="F30" t="s">
        <v>21</v>
      </c>
      <c r="G30" t="str">
        <f t="shared" si="0"/>
        <v>INDIRECT(B2&amp;"!A2")&amp;CHAR(10)&amp;</v>
      </c>
      <c r="I30" t="str">
        <f t="shared" si="2"/>
        <v>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1" spans="4:9" x14ac:dyDescent="0.4">
      <c r="D31" s="3" t="s">
        <v>48</v>
      </c>
      <c r="E31" s="3" t="str">
        <f t="shared" si="1"/>
        <v>INDIRECT(B2&amp;"!A1")</v>
      </c>
      <c r="F31" t="s">
        <v>20</v>
      </c>
      <c r="G31" t="str">
        <f t="shared" si="0"/>
        <v>INDIRECT(B2&amp;"!A1")&amp;CHAR(10)&amp;</v>
      </c>
      <c r="I31" t="str">
        <f t="shared" si="2"/>
        <v>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2" spans="4:9" x14ac:dyDescent="0.4">
      <c r="I32" t="str">
        <f t="shared" si="2"/>
        <v>INDIRECT(B2&amp;"!A1")&amp;CHAR(10)&amp;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4" spans="9:9" x14ac:dyDescent="0.4">
      <c r="I34" t="s">
        <v>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【ベース】電文①</vt:lpstr>
      <vt:lpstr>【ベース】電文②</vt:lpstr>
      <vt:lpstr>【シナリオ作成シート】_制御CH(一斉)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吉岡晃一</dc:creator>
  <cp:lastModifiedBy>吉岡晃一</cp:lastModifiedBy>
  <dcterms:created xsi:type="dcterms:W3CDTF">2022-07-20T15:36:44Z</dcterms:created>
  <dcterms:modified xsi:type="dcterms:W3CDTF">2022-07-20T17:27:59Z</dcterms:modified>
</cp:coreProperties>
</file>